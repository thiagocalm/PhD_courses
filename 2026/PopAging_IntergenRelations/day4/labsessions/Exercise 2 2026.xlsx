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cordeiro\OneDrive\Estudos\PhD\courses\2026\PopAging_IntergenRelations\day2\labsessions\"/>
    </mc:Choice>
  </mc:AlternateContent>
  <xr:revisionPtr revIDLastSave="19" documentId="13_ncr:1_{EEABB561-B55E-F347-AB0A-ED485D6E6962}" xr6:coauthVersionLast="36" xr6:coauthVersionMax="47" xr10:uidLastSave="{5501243A-EB26-4E02-9A87-92D1747222B8}"/>
  <bookViews>
    <workbookView xWindow="216" yWindow="504" windowWidth="27636" windowHeight="16440" xr2:uid="{25904FBC-6996-984B-93E6-3C0C90CB2CE6}"/>
  </bookViews>
  <sheets>
    <sheet name="NTA profiles and Pop" sheetId="1" r:id="rId1"/>
    <sheet name="Financing LC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<sst xmlns="http://schemas.openxmlformats.org/spreadsheetml/2006/main" count="147" uniqueCount="28">
  <si>
    <t>0-19</t>
  </si>
  <si>
    <t>Age</t>
  </si>
  <si>
    <t>LCD</t>
  </si>
  <si>
    <t>C</t>
  </si>
  <si>
    <t>LY</t>
  </si>
  <si>
    <t>TG</t>
  </si>
  <si>
    <t>RA</t>
  </si>
  <si>
    <t>TF</t>
  </si>
  <si>
    <t>primary</t>
  </si>
  <si>
    <t>secondary</t>
  </si>
  <si>
    <t>post-secondary</t>
  </si>
  <si>
    <t>total</t>
  </si>
  <si>
    <t>65+</t>
  </si>
  <si>
    <t>Primary</t>
  </si>
  <si>
    <t>Secondary</t>
  </si>
  <si>
    <t>Post-secondary</t>
  </si>
  <si>
    <t>Total</t>
  </si>
  <si>
    <t>SPAIN</t>
  </si>
  <si>
    <t>PRIMARY Education</t>
  </si>
  <si>
    <t>SECONDARY Education</t>
  </si>
  <si>
    <t>POST-SECONDARY Education</t>
  </si>
  <si>
    <t>FINANCING LCD /% of LCD)</t>
  </si>
  <si>
    <t>FINANCING C (% of C)</t>
  </si>
  <si>
    <t>Aggregated profiles (Multiply by population)</t>
  </si>
  <si>
    <t>Sum up by age groups</t>
  </si>
  <si>
    <t>Education</t>
  </si>
  <si>
    <t>Post-Secondary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</si>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</sst>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0-19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[1]Sheet1!$AB$8</c:f>
              <c:strCache>
                <c:ptCount val="1"/>
                <c:pt idx="0">
                  <c:v>TG</c:v>
                </c:pt>
              </c:strCache>
            </c:strRef>
          </c:tx>
          <c:invertIfNegative val="0"/>
          <c:cat>
            <c:strRef>
              <c:f>[1]Sheet1!$AC$7:$AF$7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[1]Sheet1!$AC$8:$AF$8</c:f>
              <c:numCache>
                <c:formatCode>General</c:formatCode>
                <c:ptCount val="4"/>
                <c:pt idx="0">
                  <c:v>48.535503971544316</c:v>
                </c:pt>
                <c:pt idx="1">
                  <c:v>44.169246245114408</c:v>
                </c:pt>
                <c:pt idx="2">
                  <c:v>35.983669855033561</c:v>
                </c:pt>
                <c:pt idx="3">
                  <c:v>41.532434500728073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A-474C-8C28-2F62CE3D6AF1}"/>
            </c:ext>
          </c:extLst>
        </c:ser>
        <c:ser>
          <c:idx val="1"/>
          <c:order val="1"/>
          <c:tx>
            <c:strRef>
              <c:f>[1]Sheet1!$AB$9</c:f>
              <c:strCache>
                <c:ptCount val="1"/>
                <c:pt idx="0">
                  <c:v>TF</c:v>
                </c:pt>
              </c:strCache>
            </c:strRef>
          </c:tx>
          <c:invertIfNegative val="0"/>
          <c:cat>
            <c:strRef>
              <c:f>[1]Sheet1!$AC$7:$AF$7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[1]Sheet1!$AC$9:$AF$9</c:f>
              <c:numCache>
                <c:formatCode>General</c:formatCode>
                <c:ptCount val="4"/>
                <c:pt idx="0">
                  <c:v>52.278771036190598</c:v>
                </c:pt>
                <c:pt idx="1">
                  <c:v>59.716193873979776</c:v>
                </c:pt>
                <c:pt idx="2">
                  <c:v>66.723858884833504</c:v>
                </c:pt>
                <c:pt idx="3">
                  <c:v>61.45929759274734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A-474C-8C28-2F62CE3D6AF1}"/>
            </c:ext>
          </c:extLst>
        </c:ser>
        <c:ser>
          <c:idx val="2"/>
          <c:order val="2"/>
          <c:tx>
            <c:strRef>
              <c:f>[1]Sheet1!$AB$10</c:f>
              <c:strCache>
                <c:ptCount val="1"/>
                <c:pt idx="0">
                  <c:v>RA</c:v>
                </c:pt>
              </c:strCache>
            </c:strRef>
          </c:tx>
          <c:invertIfNegative val="0"/>
          <c:cat>
            <c:strRef>
              <c:f>[1]Sheet1!$AC$7:$AF$7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[1]Sheet1!$AC$10:$AF$10</c:f>
              <c:numCache>
                <c:formatCode>General</c:formatCode>
                <c:ptCount val="4"/>
                <c:pt idx="0">
                  <c:v>-0.81427500773490602</c:v>
                </c:pt>
                <c:pt idx="1">
                  <c:v>-3.8854401190941883</c:v>
                </c:pt>
                <c:pt idx="2">
                  <c:v>-2.7075287398670413</c:v>
                </c:pt>
                <c:pt idx="3">
                  <c:v>-2.9917320934754095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1A-474C-8C28-2F62CE3D6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00909192"/>
        <c:axId val="396882344"/>
      </c:barChart>
      <c:catAx>
        <c:axId val="500909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96882344"/>
        <c:crosses val="autoZero"/>
        <c:auto val="1"/>
        <c:lblAlgn val="ctr"/>
        <c:lblOffset val="100"/>
        <c:noMultiLvlLbl val="0"/>
      </c:catAx>
      <c:valAx>
        <c:axId val="3968823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0909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 paperSize="9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65+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[1]Sheet1!$AB$16</c:f>
              <c:strCache>
                <c:ptCount val="1"/>
                <c:pt idx="0">
                  <c:v>TG</c:v>
                </c:pt>
              </c:strCache>
            </c:strRef>
          </c:tx>
          <c:invertIfNegative val="0"/>
          <c:cat>
            <c:strRef>
              <c:f>[1]Sheet1!$AC$14:$AF$15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[1]Sheet1!$AC$16:$AF$16</c:f>
              <c:numCache>
                <c:formatCode>General</c:formatCode>
                <c:ptCount val="4"/>
                <c:pt idx="0">
                  <c:v>83.052643330044091</c:v>
                </c:pt>
                <c:pt idx="1">
                  <c:v>74.9513182236836</c:v>
                </c:pt>
                <c:pt idx="2">
                  <c:v>60.203077062049481</c:v>
                </c:pt>
                <c:pt idx="3">
                  <c:v>76.714479231587802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D-9E4F-914E-B4571E9FDA48}"/>
            </c:ext>
          </c:extLst>
        </c:ser>
        <c:ser>
          <c:idx val="1"/>
          <c:order val="1"/>
          <c:tx>
            <c:strRef>
              <c:f>[1]Sheet1!$AB$17</c:f>
              <c:strCache>
                <c:ptCount val="1"/>
                <c:pt idx="0">
                  <c:v>TF</c:v>
                </c:pt>
              </c:strCache>
            </c:strRef>
          </c:tx>
          <c:invertIfNegative val="0"/>
          <c:cat>
            <c:strRef>
              <c:f>[1]Sheet1!$AC$14:$AF$15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[1]Sheet1!$AC$17:$AF$17</c:f>
              <c:numCache>
                <c:formatCode>General</c:formatCode>
                <c:ptCount val="4"/>
                <c:pt idx="0">
                  <c:v>-2.4214168364519901</c:v>
                </c:pt>
                <c:pt idx="1">
                  <c:v>12.180388976985036</c:v>
                </c:pt>
                <c:pt idx="2">
                  <c:v>10.760412382615355</c:v>
                </c:pt>
                <c:pt idx="3">
                  <c:v>3.6410769962227585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D-9E4F-914E-B4571E9FDA48}"/>
            </c:ext>
          </c:extLst>
        </c:ser>
        <c:ser>
          <c:idx val="2"/>
          <c:order val="2"/>
          <c:tx>
            <c:strRef>
              <c:f>[1]Sheet1!$AB$18</c:f>
              <c:strCache>
                <c:ptCount val="1"/>
                <c:pt idx="0">
                  <c:v>RA</c:v>
                </c:pt>
              </c:strCache>
            </c:strRef>
          </c:tx>
          <c:invertIfNegative val="0"/>
          <c:cat>
            <c:strRef>
              <c:f>[1]Sheet1!$AC$14:$AF$15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[1]Sheet1!$AC$18:$AF$18</c:f>
              <c:numCache>
                <c:formatCode>General</c:formatCode>
                <c:ptCount val="4"/>
                <c:pt idx="0">
                  <c:v>19.368773506407909</c:v>
                </c:pt>
                <c:pt idx="1">
                  <c:v>12.868292799331352</c:v>
                </c:pt>
                <c:pt idx="2">
                  <c:v>29.03651055533517</c:v>
                </c:pt>
                <c:pt idx="3">
                  <c:v>19.644443772189447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6D-9E4F-914E-B4571E9FD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1145304"/>
        <c:axId val="396764792"/>
      </c:barChart>
      <c:catAx>
        <c:axId val="501145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96764792"/>
        <c:crosses val="autoZero"/>
        <c:auto val="1"/>
        <c:lblAlgn val="ctr"/>
        <c:lblOffset val="100"/>
        <c:noMultiLvlLbl val="0"/>
      </c:catAx>
      <c:valAx>
        <c:axId val="3967647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5011453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0-19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[1]Sheet1!$AB$26</c:f>
              <c:strCache>
                <c:ptCount val="1"/>
                <c:pt idx="0">
                  <c:v>LY</c:v>
                </c:pt>
              </c:strCache>
            </c:strRef>
          </c:tx>
          <c:invertIfNegative val="0"/>
          <c:cat>
            <c:strRef>
              <c:f>[1]Sheet1!$AC$25:$AF$25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[1]Sheet1!$AC$26:$AF$26</c:f>
              <c:numCache>
                <c:formatCode>General</c:formatCode>
                <c:ptCount val="4"/>
                <c:pt idx="0">
                  <c:v>5.0416893674006351</c:v>
                </c:pt>
                <c:pt idx="1">
                  <c:v>2.669686148918379</c:v>
                </c:pt>
                <c:pt idx="2">
                  <c:v>0.62579273858837536</c:v>
                </c:pt>
                <c:pt idx="3">
                  <c:v>2.3658438500542305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F-3D45-8FFA-98F43FE29330}"/>
            </c:ext>
          </c:extLst>
        </c:ser>
        <c:ser>
          <c:idx val="1"/>
          <c:order val="1"/>
          <c:tx>
            <c:strRef>
              <c:f>[1]Sheet1!$AB$27</c:f>
              <c:strCache>
                <c:ptCount val="1"/>
                <c:pt idx="0">
                  <c:v>TG</c:v>
                </c:pt>
              </c:strCache>
            </c:strRef>
          </c:tx>
          <c:invertIfNegative val="0"/>
          <c:cat>
            <c:strRef>
              <c:f>[1]Sheet1!$AC$25:$AF$25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[1]Sheet1!$AC$27:$AF$27</c:f>
              <c:numCache>
                <c:formatCode>General</c:formatCode>
                <c:ptCount val="4"/>
                <c:pt idx="0">
                  <c:v>44.530612671943828</c:v>
                </c:pt>
                <c:pt idx="1">
                  <c:v>40.329504841356325</c:v>
                </c:pt>
                <c:pt idx="2">
                  <c:v>34.325660840051256</c:v>
                </c:pt>
                <c:pt idx="3">
                  <c:v>38.960127125026219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F-3D45-8FFA-98F43FE29330}"/>
            </c:ext>
          </c:extLst>
        </c:ser>
        <c:ser>
          <c:idx val="2"/>
          <c:order val="2"/>
          <c:tx>
            <c:strRef>
              <c:f>[1]Sheet1!$AB$28</c:f>
              <c:strCache>
                <c:ptCount val="1"/>
                <c:pt idx="0">
                  <c:v>TF</c:v>
                </c:pt>
              </c:strCache>
            </c:strRef>
          </c:tx>
          <c:invertIfNegative val="0"/>
          <c:cat>
            <c:strRef>
              <c:f>[1]Sheet1!$AC$25:$AF$25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[1]Sheet1!$AC$28:$AF$28</c:f>
              <c:numCache>
                <c:formatCode>General</c:formatCode>
                <c:ptCount val="4"/>
                <c:pt idx="0">
                  <c:v>52.449384636800644</c:v>
                </c:pt>
                <c:pt idx="1">
                  <c:v>60.426451418774477</c:v>
                </c:pt>
                <c:pt idx="2">
                  <c:v>68.20220859872984</c:v>
                </c:pt>
                <c:pt idx="3">
                  <c:v>61.762841170731051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F-3D45-8FFA-98F43FE29330}"/>
            </c:ext>
          </c:extLst>
        </c:ser>
        <c:ser>
          <c:idx val="3"/>
          <c:order val="3"/>
          <c:tx>
            <c:strRef>
              <c:f>[1]Sheet1!$AB$29</c:f>
              <c:strCache>
                <c:ptCount val="1"/>
                <c:pt idx="0">
                  <c:v>RA</c:v>
                </c:pt>
              </c:strCache>
            </c:strRef>
          </c:tx>
          <c:spPr>
            <a:solidFill>
              <a:srgbClr val="F5C870"/>
            </a:solidFill>
          </c:spPr>
          <c:invertIfNegative val="0"/>
          <c:cat>
            <c:strRef>
              <c:f>[1]Sheet1!$AC$25:$AF$25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[1]Sheet1!$AC$29:$AF$29</c:f>
              <c:numCache>
                <c:formatCode>General</c:formatCode>
                <c:ptCount val="4"/>
                <c:pt idx="0">
                  <c:v>-2.0216866761450971</c:v>
                </c:pt>
                <c:pt idx="1">
                  <c:v>-3.4256424090491913</c:v>
                </c:pt>
                <c:pt idx="2">
                  <c:v>-3.1536621773694531</c:v>
                </c:pt>
                <c:pt idx="3">
                  <c:v>-3.0888121458114988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FF-3D45-8FFA-98F43FE29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96983128"/>
        <c:axId val="420090520"/>
      </c:barChart>
      <c:catAx>
        <c:axId val="396983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420090520"/>
        <c:crosses val="autoZero"/>
        <c:auto val="1"/>
        <c:lblAlgn val="ctr"/>
        <c:lblOffset val="100"/>
        <c:noMultiLvlLbl val="0"/>
      </c:catAx>
      <c:valAx>
        <c:axId val="4200905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39698312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65+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[1]Sheet1!$AB$35</c:f>
              <c:strCache>
                <c:ptCount val="1"/>
                <c:pt idx="0">
                  <c:v>LY</c:v>
                </c:pt>
              </c:strCache>
            </c:strRef>
          </c:tx>
          <c:invertIfNegative val="0"/>
          <c:cat>
            <c:strRef>
              <c:f>[1]Sheet1!$AC$34:$AF$34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[1]Sheet1!$AC$35:$AF$35</c:f>
              <c:numCache>
                <c:formatCode>General</c:formatCode>
                <c:ptCount val="4"/>
                <c:pt idx="0">
                  <c:v>3.846504267281702</c:v>
                </c:pt>
                <c:pt idx="1">
                  <c:v>10.52093373703689</c:v>
                </c:pt>
                <c:pt idx="2">
                  <c:v>16.262433185015436</c:v>
                </c:pt>
                <c:pt idx="3">
                  <c:v>8.1159501418254862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A-2945-A5F4-961F135744AF}"/>
            </c:ext>
          </c:extLst>
        </c:ser>
        <c:ser>
          <c:idx val="1"/>
          <c:order val="1"/>
          <c:tx>
            <c:strRef>
              <c:f>[1]Sheet1!$AB$36</c:f>
              <c:strCache>
                <c:ptCount val="1"/>
                <c:pt idx="0">
                  <c:v>TG</c:v>
                </c:pt>
              </c:strCache>
            </c:strRef>
          </c:tx>
          <c:invertIfNegative val="0"/>
          <c:cat>
            <c:strRef>
              <c:f>[1]Sheet1!$AC$34:$AF$34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[1]Sheet1!$AC$36:$AF$36</c:f>
              <c:numCache>
                <c:formatCode>General</c:formatCode>
                <c:ptCount val="4"/>
                <c:pt idx="0">
                  <c:v>79.858019860263695</c:v>
                </c:pt>
                <c:pt idx="1">
                  <c:v>67.065739698334198</c:v>
                </c:pt>
                <c:pt idx="2">
                  <c:v>50.412591879510337</c:v>
                </c:pt>
                <c:pt idx="3">
                  <c:v>70.488370345591065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A-2945-A5F4-961F135744AF}"/>
            </c:ext>
          </c:extLst>
        </c:ser>
        <c:ser>
          <c:idx val="2"/>
          <c:order val="2"/>
          <c:tx>
            <c:strRef>
              <c:f>[1]Sheet1!$AB$37</c:f>
              <c:strCache>
                <c:ptCount val="1"/>
                <c:pt idx="0">
                  <c:v>TF</c:v>
                </c:pt>
              </c:strCache>
            </c:strRef>
          </c:tx>
          <c:invertIfNegative val="0"/>
          <c:cat>
            <c:strRef>
              <c:f>[1]Sheet1!$AC$34:$AF$34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[1]Sheet1!$AC$37:$AF$37</c:f>
              <c:numCache>
                <c:formatCode>General</c:formatCode>
                <c:ptCount val="4"/>
                <c:pt idx="0">
                  <c:v>-2.3282769345091872</c:v>
                </c:pt>
                <c:pt idx="1">
                  <c:v>10.898898323803095</c:v>
                </c:pt>
                <c:pt idx="2">
                  <c:v>9.0105075084604067</c:v>
                </c:pt>
                <c:pt idx="3">
                  <c:v>3.3455690025838418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A-2945-A5F4-961F135744AF}"/>
            </c:ext>
          </c:extLst>
        </c:ser>
        <c:ser>
          <c:idx val="3"/>
          <c:order val="3"/>
          <c:tx>
            <c:strRef>
              <c:f>[1]Sheet1!$AB$38</c:f>
              <c:strCache>
                <c:ptCount val="1"/>
                <c:pt idx="0">
                  <c:v>RA</c:v>
                </c:pt>
              </c:strCache>
            </c:strRef>
          </c:tx>
          <c:spPr>
            <a:solidFill>
              <a:srgbClr val="F5C870"/>
            </a:solidFill>
          </c:spPr>
          <c:invertIfNegative val="0"/>
          <c:cat>
            <c:strRef>
              <c:f>[1]Sheet1!$AC$34:$AF$34</c:f>
              <c:strCache>
                <c:ptCount val="4"/>
                <c:pt idx="0">
                  <c:v>Primary</c:v>
                </c:pt>
                <c:pt idx="1">
                  <c:v>Secondary</c:v>
                </c:pt>
                <c:pt idx="2">
                  <c:v>Post-secondary</c:v>
                </c:pt>
                <c:pt idx="3">
                  <c:v>Total</c:v>
                </c:pt>
              </c:strCache>
            </c:strRef>
          </c:cat>
          <c:val>
            <c:numRef>
              <c:f>[1]Sheet1!$AC$38:$AF$38</c:f>
              <c:numCache>
                <c:formatCode>General</c:formatCode>
                <c:ptCount val="4"/>
                <c:pt idx="0">
                  <c:v>18.6237528069638</c:v>
                </c:pt>
                <c:pt idx="1">
                  <c:v>11.514428240825811</c:v>
                </c:pt>
                <c:pt idx="2">
                  <c:v>24.314467427013835</c:v>
                </c:pt>
                <c:pt idx="3">
                  <c:v>18.050110509999612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4A-2945-A5F4-961F13574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419770664"/>
        <c:axId val="420167032"/>
      </c:barChart>
      <c:catAx>
        <c:axId val="419770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420167032"/>
        <c:crosses val="autoZero"/>
        <c:auto val="1"/>
        <c:lblAlgn val="ctr"/>
        <c:lblOffset val="100"/>
        <c:noMultiLvlLbl val="0"/>
      </c:catAx>
      <c:valAx>
        <c:axId val="4201670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19770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558800</xdr:colOff>
      <xdr:row>0</xdr:row>
      <xdr:rowOff>0</xdr:rowOff>
    </xdr:from>
    <xdr:to>
      <xdr:col>38</xdr:col>
      <xdr:colOff>177800</xdr:colOff>
      <xdr:row>11</xdr:row>
      <xdr:rowOff>12700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AEC6071-AE5F-5147-AC6C-A7B402463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584200</xdr:colOff>
      <xdr:row>11</xdr:row>
      <xdr:rowOff>69850</xdr:rowOff>
    </xdr:from>
    <xdr:to>
      <xdr:col>38</xdr:col>
      <xdr:colOff>203200</xdr:colOff>
      <xdr:row>25</xdr:row>
      <xdr:rowOff>12700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B7747EB7-C9AF-BA49-B384-4DCA3F3FF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698500</xdr:colOff>
      <xdr:row>25</xdr:row>
      <xdr:rowOff>158750</xdr:rowOff>
    </xdr:from>
    <xdr:to>
      <xdr:col>39</xdr:col>
      <xdr:colOff>558800</xdr:colOff>
      <xdr:row>41</xdr:row>
      <xdr:rowOff>127000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463F349B-80FA-594C-AE87-D1A6CA06F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749300</xdr:colOff>
      <xdr:row>42</xdr:row>
      <xdr:rowOff>146050</xdr:rowOff>
    </xdr:from>
    <xdr:to>
      <xdr:col>39</xdr:col>
      <xdr:colOff>584200</xdr:colOff>
      <xdr:row>62</xdr:row>
      <xdr:rowOff>165100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5FB2035A-0589-3E41-A744-8746C91D7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elisendarenteria/Library/CloudStorage/GoogleDrive-erenteria@ced.uab.es/Mi%20unidad/NTA_perfiles_2014/NTA%20by%20Educ/PERFILES/Profiles%20by%20hh%20educ/FINANCING%20LCD%20EDUC%2020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7">
          <cell r="AC7" t="str">
            <v>primary</v>
          </cell>
          <cell r="AD7" t="str">
            <v>secondary</v>
          </cell>
          <cell r="AE7" t="str">
            <v>post-secondary</v>
          </cell>
          <cell r="AF7" t="str">
            <v>total</v>
          </cell>
        </row>
        <row r="8">
          <cell r="AB8" t="str">
            <v>TG</v>
          </cell>
          <cell r="AC8">
            <v>48.535503971544316</v>
          </cell>
          <cell r="AD8">
            <v>44.169246245114408</v>
          </cell>
          <cell r="AE8">
            <v>35.983669855033561</v>
          </cell>
          <cell r="AF8">
            <v>41.532434500728073</v>
          </cell>
        </row>
        <row r="9">
          <cell r="AB9" t="str">
            <v>TF</v>
          </cell>
          <cell r="AC9">
            <v>52.278771036190598</v>
          </cell>
          <cell r="AD9">
            <v>59.716193873979776</v>
          </cell>
          <cell r="AE9">
            <v>66.723858884833504</v>
          </cell>
          <cell r="AF9">
            <v>61.45929759274734</v>
          </cell>
        </row>
        <row r="10">
          <cell r="AB10" t="str">
            <v>RA</v>
          </cell>
          <cell r="AC10">
            <v>-0.81427500773490602</v>
          </cell>
          <cell r="AD10">
            <v>-3.8854401190941883</v>
          </cell>
          <cell r="AE10">
            <v>-2.7075287398670413</v>
          </cell>
          <cell r="AF10">
            <v>-2.9917320934754095</v>
          </cell>
        </row>
        <row r="15">
          <cell r="AC15" t="str">
            <v>primary</v>
          </cell>
          <cell r="AD15" t="str">
            <v>secondary</v>
          </cell>
          <cell r="AE15" t="str">
            <v>post-secondary</v>
          </cell>
          <cell r="AF15" t="str">
            <v>total</v>
          </cell>
        </row>
        <row r="16">
          <cell r="AB16" t="str">
            <v>TG</v>
          </cell>
          <cell r="AC16">
            <v>83.052643330044091</v>
          </cell>
          <cell r="AD16">
            <v>74.9513182236836</v>
          </cell>
          <cell r="AE16">
            <v>60.203077062049481</v>
          </cell>
          <cell r="AF16">
            <v>76.714479231587802</v>
          </cell>
        </row>
        <row r="17">
          <cell r="AB17" t="str">
            <v>TF</v>
          </cell>
          <cell r="AC17">
            <v>-2.4214168364519901</v>
          </cell>
          <cell r="AD17">
            <v>12.180388976985036</v>
          </cell>
          <cell r="AE17">
            <v>10.760412382615355</v>
          </cell>
          <cell r="AF17">
            <v>3.6410769962227585</v>
          </cell>
        </row>
        <row r="18">
          <cell r="AB18" t="str">
            <v>RA</v>
          </cell>
          <cell r="AC18">
            <v>19.368773506407909</v>
          </cell>
          <cell r="AD18">
            <v>12.868292799331352</v>
          </cell>
          <cell r="AE18">
            <v>29.03651055533517</v>
          </cell>
          <cell r="AF18">
            <v>19.644443772189447</v>
          </cell>
        </row>
        <row r="25">
          <cell r="AC25" t="str">
            <v>Primary</v>
          </cell>
          <cell r="AD25" t="str">
            <v>Secondary</v>
          </cell>
          <cell r="AE25" t="str">
            <v>Post-secondary</v>
          </cell>
          <cell r="AF25" t="str">
            <v>Total</v>
          </cell>
        </row>
        <row r="26">
          <cell r="AB26" t="str">
            <v>LY</v>
          </cell>
          <cell r="AC26">
            <v>5.0416893674006351</v>
          </cell>
          <cell r="AD26">
            <v>2.669686148918379</v>
          </cell>
          <cell r="AE26">
            <v>0.62579273858837536</v>
          </cell>
          <cell r="AF26">
            <v>2.3658438500542305</v>
          </cell>
        </row>
        <row r="27">
          <cell r="AB27" t="str">
            <v>TG</v>
          </cell>
          <cell r="AC27">
            <v>44.530612671943828</v>
          </cell>
          <cell r="AD27">
            <v>40.329504841356325</v>
          </cell>
          <cell r="AE27">
            <v>34.325660840051256</v>
          </cell>
          <cell r="AF27">
            <v>38.960127125026219</v>
          </cell>
        </row>
        <row r="28">
          <cell r="AB28" t="str">
            <v>TF</v>
          </cell>
          <cell r="AC28">
            <v>52.449384636800644</v>
          </cell>
          <cell r="AD28">
            <v>60.426451418774477</v>
          </cell>
          <cell r="AE28">
            <v>68.20220859872984</v>
          </cell>
          <cell r="AF28">
            <v>61.762841170731051</v>
          </cell>
        </row>
        <row r="29">
          <cell r="AB29" t="str">
            <v>RA</v>
          </cell>
          <cell r="AC29">
            <v>-2.0216866761450971</v>
          </cell>
          <cell r="AD29">
            <v>-3.4256424090491913</v>
          </cell>
          <cell r="AE29">
            <v>-3.1536621773694531</v>
          </cell>
          <cell r="AF29">
            <v>-3.0888121458114988</v>
          </cell>
        </row>
        <row r="34">
          <cell r="AC34" t="str">
            <v>Primary</v>
          </cell>
          <cell r="AD34" t="str">
            <v>Secondary</v>
          </cell>
          <cell r="AE34" t="str">
            <v>Post-secondary</v>
          </cell>
          <cell r="AF34" t="str">
            <v>Total</v>
          </cell>
        </row>
        <row r="35">
          <cell r="AB35" t="str">
            <v>LY</v>
          </cell>
          <cell r="AC35">
            <v>3.846504267281702</v>
          </cell>
          <cell r="AD35">
            <v>10.52093373703689</v>
          </cell>
          <cell r="AE35">
            <v>16.262433185015436</v>
          </cell>
          <cell r="AF35">
            <v>8.1159501418254862</v>
          </cell>
        </row>
        <row r="36">
          <cell r="AB36" t="str">
            <v>TG</v>
          </cell>
          <cell r="AC36">
            <v>79.858019860263695</v>
          </cell>
          <cell r="AD36">
            <v>67.065739698334198</v>
          </cell>
          <cell r="AE36">
            <v>50.412591879510337</v>
          </cell>
          <cell r="AF36">
            <v>70.488370345591065</v>
          </cell>
        </row>
        <row r="37">
          <cell r="AB37" t="str">
            <v>TF</v>
          </cell>
          <cell r="AC37">
            <v>-2.3282769345091872</v>
          </cell>
          <cell r="AD37">
            <v>10.898898323803095</v>
          </cell>
          <cell r="AE37">
            <v>9.0105075084604067</v>
          </cell>
          <cell r="AF37">
            <v>3.3455690025838418</v>
          </cell>
        </row>
        <row r="38">
          <cell r="AB38" t="str">
            <v>RA</v>
          </cell>
          <cell r="AC38">
            <v>18.6237528069638</v>
          </cell>
          <cell r="AD38">
            <v>11.514428240825811</v>
          </cell>
          <cell r="AE38">
            <v>24.314467427013835</v>
          </cell>
          <cell r="AF38">
            <v>18.050110509999612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CD81-1483-1A4A-A2A5-9F42C4F3E741}">
  <dimension ref="A1:AF74"/>
  <sheetViews>
    <sheetView tabSelected="1" workbookViewId="0">
      <selection activeCell="J8" sqref="J8"/>
    </sheetView>
  </sheetViews>
  <sheetFormatPr baseColWidth="10" defaultRowHeight="15"/>
  <cols>
    <col min="1" max="1" width="13.6328125" bestFit="1" customWidth="1"/>
    <col min="5" max="5" width="11.453125" bestFit="1" customWidth="1"/>
    <col min="12" max="12" width="11.1796875" bestFit="1" customWidth="1"/>
    <col min="13" max="14" width="11.1796875" customWidth="1"/>
    <col min="21" max="21" width="12.1796875" bestFit="1" customWidth="1"/>
    <col min="22" max="23" width="12.1796875" customWidth="1"/>
    <col min="25" max="25" width="12.1796875" bestFit="1" customWidth="1"/>
    <col min="26" max="26" width="11.1796875" bestFit="1" customWidth="1"/>
  </cols>
  <sheetData>
    <row r="1" spans="1:32" ht="15.6" thickBot="1">
      <c r="A1" t="s">
        <v>25</v>
      </c>
      <c r="B1" t="s">
        <v>1</v>
      </c>
      <c r="C1" t="s">
        <v>3</v>
      </c>
      <c r="D1" t="s">
        <v>4</v>
      </c>
      <c r="E1" t="s">
        <v>5</v>
      </c>
      <c r="F1" t="s">
        <v>7</v>
      </c>
      <c r="G1" t="s">
        <v>6</v>
      </c>
      <c r="H1" t="s">
        <v>27</v>
      </c>
      <c r="I1" s="4" t="s">
        <v>2</v>
      </c>
    </row>
    <row r="2" spans="1:32" ht="15.6" thickBot="1">
      <c r="A2" t="s">
        <v>13</v>
      </c>
      <c r="B2">
        <v>0</v>
      </c>
      <c r="C2" s="2">
        <v>8336.6428307622682</v>
      </c>
      <c r="D2" s="2">
        <v>0</v>
      </c>
      <c r="E2" s="2">
        <v>3780.6381211004173</v>
      </c>
      <c r="F2" s="2">
        <v>4600.8865519455003</v>
      </c>
      <c r="G2" s="2">
        <v>-44.881842283649348</v>
      </c>
      <c r="H2" s="6">
        <v>300881</v>
      </c>
      <c r="I2" s="2"/>
      <c r="J2" s="2"/>
      <c r="K2" s="2"/>
      <c r="L2" s="2"/>
      <c r="M2" s="2"/>
      <c r="N2" s="2"/>
      <c r="AC2" s="2"/>
      <c r="AD2" s="2"/>
      <c r="AE2" s="2"/>
      <c r="AF2" s="2"/>
    </row>
    <row r="3" spans="1:32" ht="15.6" thickBot="1">
      <c r="A3" t="s">
        <v>13</v>
      </c>
      <c r="B3">
        <v>5</v>
      </c>
      <c r="C3" s="2">
        <v>10346.766160125095</v>
      </c>
      <c r="D3" s="2">
        <v>0</v>
      </c>
      <c r="E3" s="2">
        <v>5443.3444880367779</v>
      </c>
      <c r="F3" s="2">
        <v>4947.0253745211339</v>
      </c>
      <c r="G3" s="2">
        <v>-43.603702432817045</v>
      </c>
      <c r="H3" s="6">
        <v>300628</v>
      </c>
      <c r="I3" s="2"/>
      <c r="J3" s="2"/>
      <c r="AC3" s="2"/>
      <c r="AD3" s="2"/>
      <c r="AE3" s="2"/>
      <c r="AF3" s="2"/>
    </row>
    <row r="4" spans="1:32" ht="15.6" thickBot="1">
      <c r="A4" t="s">
        <v>13</v>
      </c>
      <c r="B4">
        <v>10</v>
      </c>
      <c r="C4" s="2">
        <v>12477.956104606787</v>
      </c>
      <c r="D4" s="2">
        <v>0</v>
      </c>
      <c r="E4" s="2">
        <v>5945.868948394952</v>
      </c>
      <c r="F4" s="2">
        <v>6678.8321152008466</v>
      </c>
      <c r="G4" s="2">
        <v>-146.74495898901205</v>
      </c>
      <c r="H4" s="6">
        <v>424023</v>
      </c>
      <c r="I4" s="2"/>
      <c r="J4" s="2"/>
      <c r="AC4" s="2"/>
      <c r="AD4" s="2"/>
      <c r="AE4" s="2"/>
      <c r="AF4" s="2"/>
    </row>
    <row r="5" spans="1:32" ht="15.6" thickBot="1">
      <c r="A5" t="s">
        <v>13</v>
      </c>
      <c r="B5">
        <v>15</v>
      </c>
      <c r="C5" s="2">
        <v>14577.551207772707</v>
      </c>
      <c r="D5" s="2">
        <v>1600.9528700389203</v>
      </c>
      <c r="E5" s="2">
        <v>5803.5629831810893</v>
      </c>
      <c r="F5" s="2">
        <v>7675.1417631311369</v>
      </c>
      <c r="G5" s="2">
        <v>-502.10640857843919</v>
      </c>
      <c r="H5" s="6">
        <v>635150</v>
      </c>
      <c r="I5" s="2"/>
      <c r="J5" s="2"/>
    </row>
    <row r="6" spans="1:32" ht="16.2" thickBot="1">
      <c r="A6" t="s">
        <v>13</v>
      </c>
      <c r="B6">
        <v>20</v>
      </c>
      <c r="C6" s="2">
        <v>13785.657961882225</v>
      </c>
      <c r="D6" s="2">
        <v>8800.9031188481913</v>
      </c>
      <c r="E6" s="2">
        <v>920.80738532355736</v>
      </c>
      <c r="F6" s="2">
        <v>4873.0290131533839</v>
      </c>
      <c r="G6" s="2">
        <v>-809.0815554429073</v>
      </c>
      <c r="H6" s="6">
        <v>750767</v>
      </c>
      <c r="I6" s="2"/>
      <c r="J6" s="2"/>
      <c r="T6" s="1"/>
    </row>
    <row r="7" spans="1:32" ht="15.6" thickBot="1">
      <c r="A7" t="s">
        <v>13</v>
      </c>
      <c r="B7">
        <v>25</v>
      </c>
      <c r="C7" s="2">
        <v>12378.26547933813</v>
      </c>
      <c r="D7" s="2">
        <v>14163.887903590967</v>
      </c>
      <c r="E7" s="2">
        <v>-1830.5757938292727</v>
      </c>
      <c r="F7" s="2">
        <v>670.50219874406821</v>
      </c>
      <c r="G7" s="2">
        <v>-625.54882916763245</v>
      </c>
      <c r="H7" s="6">
        <v>801883</v>
      </c>
      <c r="I7" s="2"/>
      <c r="J7" s="2"/>
    </row>
    <row r="8" spans="1:32" ht="15.6" thickBot="1">
      <c r="A8" t="s">
        <v>13</v>
      </c>
      <c r="B8">
        <v>30</v>
      </c>
      <c r="C8" s="2">
        <v>12060.411761594234</v>
      </c>
      <c r="D8" s="2">
        <v>16207.795587286138</v>
      </c>
      <c r="E8" s="2">
        <v>-2546.7388696010748</v>
      </c>
      <c r="F8" s="2">
        <v>-1181.9100820327883</v>
      </c>
      <c r="G8" s="2">
        <v>-418.73487405804121</v>
      </c>
      <c r="H8" s="6">
        <v>656653</v>
      </c>
      <c r="I8" s="2"/>
      <c r="J8" s="2"/>
      <c r="U8" s="3"/>
      <c r="V8" s="3"/>
      <c r="W8" s="3"/>
      <c r="Z8" s="3"/>
    </row>
    <row r="9" spans="1:32" ht="15.6" thickBot="1">
      <c r="A9" t="s">
        <v>13</v>
      </c>
      <c r="B9">
        <v>35</v>
      </c>
      <c r="C9" s="2">
        <v>11422.07083687223</v>
      </c>
      <c r="D9" s="2">
        <v>15609.186998945426</v>
      </c>
      <c r="E9" s="2">
        <v>-2449.251569750003</v>
      </c>
      <c r="F9" s="2">
        <v>-2891.8020390697529</v>
      </c>
      <c r="G9" s="2">
        <v>1153.9374467465595</v>
      </c>
      <c r="H9" s="6">
        <v>578454</v>
      </c>
      <c r="I9" s="2"/>
      <c r="J9" s="2"/>
      <c r="U9" s="3"/>
      <c r="V9" s="3"/>
      <c r="W9" s="3"/>
    </row>
    <row r="10" spans="1:32" ht="15.6" thickBot="1">
      <c r="A10" t="s">
        <v>13</v>
      </c>
      <c r="B10">
        <v>40</v>
      </c>
      <c r="C10" s="2">
        <v>11705.482185244662</v>
      </c>
      <c r="D10" s="2">
        <v>15349.405983783266</v>
      </c>
      <c r="E10" s="2">
        <v>-2263.8142434350057</v>
      </c>
      <c r="F10" s="2">
        <v>-4315.6747510707164</v>
      </c>
      <c r="G10" s="2">
        <v>2935.5651959671177</v>
      </c>
      <c r="H10" s="6">
        <v>694493</v>
      </c>
      <c r="I10" s="2"/>
      <c r="J10" s="2"/>
      <c r="AC10" s="2"/>
      <c r="AD10" s="2"/>
      <c r="AE10" s="2"/>
      <c r="AF10" s="2"/>
    </row>
    <row r="11" spans="1:32" ht="15.6" thickBot="1">
      <c r="A11" t="s">
        <v>13</v>
      </c>
      <c r="B11">
        <v>45</v>
      </c>
      <c r="C11" s="2">
        <v>12078.572294895028</v>
      </c>
      <c r="D11" s="2">
        <v>16187.895433668597</v>
      </c>
      <c r="E11" s="2">
        <v>-2088.7823978628448</v>
      </c>
      <c r="F11" s="2">
        <v>-4793.3255594434368</v>
      </c>
      <c r="G11" s="2">
        <v>2772.784818532713</v>
      </c>
      <c r="H11" s="6">
        <v>790091</v>
      </c>
      <c r="I11" s="2"/>
      <c r="J11" s="2"/>
      <c r="AC11" s="2"/>
      <c r="AD11" s="2"/>
      <c r="AE11" s="2"/>
      <c r="AF11" s="2"/>
    </row>
    <row r="12" spans="1:32" ht="15.6" thickBot="1">
      <c r="A12" t="s">
        <v>13</v>
      </c>
      <c r="B12">
        <v>50</v>
      </c>
      <c r="C12" s="2">
        <v>12535.293259349965</v>
      </c>
      <c r="D12" s="2">
        <v>16197.328344768706</v>
      </c>
      <c r="E12" s="2">
        <v>-1709.3374670422609</v>
      </c>
      <c r="F12" s="2">
        <v>-4072.2946625021232</v>
      </c>
      <c r="G12" s="2">
        <v>2119.5970441256422</v>
      </c>
      <c r="H12" s="6">
        <v>751628</v>
      </c>
      <c r="I12" s="2"/>
      <c r="J12" s="2"/>
      <c r="AC12" s="2"/>
      <c r="AD12" s="2"/>
      <c r="AE12" s="2"/>
      <c r="AF12" s="2"/>
    </row>
    <row r="13" spans="1:32" ht="15.6" thickBot="1">
      <c r="A13" t="s">
        <v>13</v>
      </c>
      <c r="B13">
        <v>55</v>
      </c>
      <c r="C13" s="2">
        <v>13146.839493479569</v>
      </c>
      <c r="D13" s="2">
        <v>14185.170715328773</v>
      </c>
      <c r="E13" s="2">
        <v>377.59318877236001</v>
      </c>
      <c r="F13" s="2">
        <v>-2129.2677793755333</v>
      </c>
      <c r="G13" s="2">
        <v>713.34336875396866</v>
      </c>
      <c r="H13" s="6">
        <v>905408</v>
      </c>
      <c r="I13" s="2"/>
      <c r="J13" s="2"/>
    </row>
    <row r="14" spans="1:32" ht="15.6" thickBot="1">
      <c r="A14" t="s">
        <v>13</v>
      </c>
      <c r="B14">
        <v>60</v>
      </c>
      <c r="C14" s="2">
        <v>12618.84030902513</v>
      </c>
      <c r="D14" s="2">
        <v>9517.9690605331416</v>
      </c>
      <c r="E14" s="2">
        <v>3963.682872622775</v>
      </c>
      <c r="F14" s="2">
        <v>-1184.3816326436804</v>
      </c>
      <c r="G14" s="2">
        <v>321.57000851289422</v>
      </c>
      <c r="H14" s="6">
        <v>977192</v>
      </c>
      <c r="I14" s="2"/>
      <c r="J14" s="2"/>
      <c r="U14" s="3"/>
      <c r="V14" s="3"/>
      <c r="W14" s="3"/>
      <c r="X14" s="3"/>
      <c r="Y14" s="3"/>
    </row>
    <row r="15" spans="1:32" ht="15.6" thickBot="1">
      <c r="A15" t="s">
        <v>13</v>
      </c>
      <c r="B15">
        <v>65</v>
      </c>
      <c r="C15" s="2">
        <v>11898.761990437797</v>
      </c>
      <c r="D15" s="2">
        <v>1652.8940639633759</v>
      </c>
      <c r="E15" s="2">
        <v>8118.5604053062807</v>
      </c>
      <c r="F15" s="2">
        <v>157.4142903958207</v>
      </c>
      <c r="G15" s="2">
        <v>1969.8932307723192</v>
      </c>
      <c r="H15" s="6">
        <v>966387</v>
      </c>
      <c r="I15" s="2"/>
      <c r="J15" s="2"/>
      <c r="U15" s="3"/>
      <c r="V15" s="3"/>
      <c r="W15" s="3"/>
      <c r="X15" s="3"/>
    </row>
    <row r="16" spans="1:32" ht="15.6" thickBot="1">
      <c r="A16" t="s">
        <v>13</v>
      </c>
      <c r="B16">
        <v>70</v>
      </c>
      <c r="C16" s="2">
        <v>11849.064525909493</v>
      </c>
      <c r="D16" s="2">
        <v>235.91077870112898</v>
      </c>
      <c r="E16" s="2">
        <v>9209.1654686238453</v>
      </c>
      <c r="F16" s="2">
        <v>-354.83359093407853</v>
      </c>
      <c r="G16" s="2">
        <v>2758.8218695185969</v>
      </c>
      <c r="H16" s="6">
        <v>1207352</v>
      </c>
      <c r="I16" s="2"/>
      <c r="J16" s="2"/>
    </row>
    <row r="17" spans="1:32" ht="16.2" thickBot="1">
      <c r="A17" t="s">
        <v>13</v>
      </c>
      <c r="B17">
        <v>75</v>
      </c>
      <c r="C17" s="2">
        <v>11505.430303039129</v>
      </c>
      <c r="D17" s="2">
        <v>94.184035508426618</v>
      </c>
      <c r="E17" s="2">
        <v>9778.3549120693842</v>
      </c>
      <c r="F17" s="2">
        <v>-499.90974930261018</v>
      </c>
      <c r="G17" s="2">
        <v>2132.8011047639293</v>
      </c>
      <c r="H17" s="6">
        <v>1075157</v>
      </c>
      <c r="I17" s="2"/>
      <c r="J17" s="2"/>
      <c r="AB17" s="1"/>
    </row>
    <row r="18" spans="1:32" ht="15.6" thickBot="1">
      <c r="A18" t="s">
        <v>13</v>
      </c>
      <c r="B18">
        <v>80</v>
      </c>
      <c r="C18" s="2">
        <v>11235.348562756237</v>
      </c>
      <c r="D18" s="2">
        <v>33.67786400852097</v>
      </c>
      <c r="E18" s="2">
        <v>9752.3347664973553</v>
      </c>
      <c r="F18" s="2">
        <v>-319.65931513564703</v>
      </c>
      <c r="G18" s="2">
        <v>1768.9952473860071</v>
      </c>
      <c r="H18" s="6">
        <v>1292439</v>
      </c>
      <c r="I18" s="2"/>
      <c r="J18" s="2"/>
    </row>
    <row r="19" spans="1:32" ht="15.6" thickBot="1">
      <c r="A19" t="s">
        <v>14</v>
      </c>
      <c r="B19">
        <v>0</v>
      </c>
      <c r="C19" s="2">
        <v>9487.590333568307</v>
      </c>
      <c r="D19" s="2">
        <v>0</v>
      </c>
      <c r="E19" s="2">
        <v>3887.2630337276573</v>
      </c>
      <c r="F19" s="2">
        <v>5925.66771087291</v>
      </c>
      <c r="G19" s="2">
        <v>-325.34041103225991</v>
      </c>
      <c r="H19" s="6">
        <v>1047276</v>
      </c>
      <c r="I19" s="2"/>
      <c r="J19" s="2"/>
    </row>
    <row r="20" spans="1:32" ht="15.6" thickBot="1">
      <c r="A20" t="s">
        <v>14</v>
      </c>
      <c r="B20">
        <v>5</v>
      </c>
      <c r="C20" s="2">
        <v>11777.493918657499</v>
      </c>
      <c r="D20" s="2">
        <v>0</v>
      </c>
      <c r="E20" s="2">
        <v>5640.1480770178259</v>
      </c>
      <c r="F20" s="2">
        <v>6597.1454994456726</v>
      </c>
      <c r="G20" s="2">
        <v>-459.79965780599923</v>
      </c>
      <c r="H20" s="6">
        <v>1025264</v>
      </c>
      <c r="I20" s="2"/>
      <c r="J20" s="2"/>
    </row>
    <row r="21" spans="1:32" ht="15.6" thickBot="1">
      <c r="A21" t="s">
        <v>14</v>
      </c>
      <c r="B21">
        <v>10</v>
      </c>
      <c r="C21" s="2">
        <v>14076.927955036272</v>
      </c>
      <c r="D21" s="2">
        <v>0</v>
      </c>
      <c r="E21" s="2">
        <v>6089.6444133564391</v>
      </c>
      <c r="F21" s="2">
        <v>8576.1861479276467</v>
      </c>
      <c r="G21" s="2">
        <v>-588.90260624781422</v>
      </c>
      <c r="H21" s="6">
        <v>1027208</v>
      </c>
      <c r="I21" s="2"/>
      <c r="J21" s="2"/>
    </row>
    <row r="22" spans="1:32" ht="15.6" thickBot="1">
      <c r="A22" t="s">
        <v>14</v>
      </c>
      <c r="B22">
        <v>15</v>
      </c>
      <c r="C22" s="2">
        <v>16763.704401462914</v>
      </c>
      <c r="D22" s="2">
        <v>1281.5465996153209</v>
      </c>
      <c r="E22" s="2">
        <v>5561.1861335732428</v>
      </c>
      <c r="F22" s="2">
        <v>10351.595714752415</v>
      </c>
      <c r="G22" s="2">
        <v>-430.62404647806579</v>
      </c>
      <c r="H22" s="6">
        <v>1167451</v>
      </c>
      <c r="I22" s="2"/>
      <c r="J22" s="2"/>
    </row>
    <row r="23" spans="1:32" ht="16.2" thickBot="1">
      <c r="A23" t="s">
        <v>14</v>
      </c>
      <c r="B23">
        <v>20</v>
      </c>
      <c r="C23" s="2">
        <v>15637.022832703744</v>
      </c>
      <c r="D23" s="2">
        <v>8334.2608276810279</v>
      </c>
      <c r="E23" s="2">
        <v>109.11295987478661</v>
      </c>
      <c r="F23" s="2">
        <v>5469.663517845891</v>
      </c>
      <c r="G23" s="2">
        <v>1723.9855273020385</v>
      </c>
      <c r="H23" s="6">
        <v>1397173</v>
      </c>
      <c r="I23" s="2"/>
      <c r="J23" s="2"/>
      <c r="T23" s="1"/>
    </row>
    <row r="24" spans="1:32" ht="15.6" thickBot="1">
      <c r="A24" t="s">
        <v>14</v>
      </c>
      <c r="B24">
        <v>25</v>
      </c>
      <c r="C24" s="2">
        <v>15405.315845794234</v>
      </c>
      <c r="D24" s="2">
        <v>16096.899622727737</v>
      </c>
      <c r="E24" s="2">
        <v>-3899.7421005183337</v>
      </c>
      <c r="F24" s="2">
        <v>354.79797232592625</v>
      </c>
      <c r="G24" s="2">
        <v>2853.3603512589043</v>
      </c>
      <c r="H24" s="6">
        <v>1720045</v>
      </c>
      <c r="I24" s="2"/>
      <c r="J24" s="2"/>
      <c r="AC24" s="2"/>
      <c r="AD24" s="2"/>
      <c r="AE24" s="2"/>
      <c r="AF24" s="2"/>
    </row>
    <row r="25" spans="1:32" ht="15.6" thickBot="1">
      <c r="A25" t="s">
        <v>14</v>
      </c>
      <c r="B25">
        <v>30</v>
      </c>
      <c r="C25" s="2">
        <v>15170.591186486077</v>
      </c>
      <c r="D25" s="2">
        <v>21532.991230286567</v>
      </c>
      <c r="E25" s="2">
        <v>-5547.4228030110144</v>
      </c>
      <c r="F25" s="2">
        <v>-3077.9344965657519</v>
      </c>
      <c r="G25" s="2">
        <v>2262.9572557762767</v>
      </c>
      <c r="H25" s="6">
        <v>1707337</v>
      </c>
      <c r="I25" s="2"/>
      <c r="J25" s="2"/>
      <c r="U25" s="3"/>
      <c r="V25" s="3"/>
      <c r="W25" s="3"/>
      <c r="Y25" s="3"/>
      <c r="AC25" s="2"/>
      <c r="AD25" s="2"/>
      <c r="AE25" s="2"/>
      <c r="AF25" s="2"/>
    </row>
    <row r="26" spans="1:32" ht="15.6" thickBot="1">
      <c r="A26" t="s">
        <v>14</v>
      </c>
      <c r="B26">
        <v>35</v>
      </c>
      <c r="C26" s="2">
        <v>14333.357365420399</v>
      </c>
      <c r="D26" s="2">
        <v>21456.741011037419</v>
      </c>
      <c r="E26" s="2">
        <v>-5626.5392017773574</v>
      </c>
      <c r="F26" s="2">
        <v>-4820.6753239942327</v>
      </c>
      <c r="G26" s="2">
        <v>3323.8308801545709</v>
      </c>
      <c r="H26" s="6">
        <v>1650674</v>
      </c>
      <c r="I26" s="2"/>
      <c r="J26" s="2"/>
      <c r="U26" s="3"/>
      <c r="V26" s="3"/>
      <c r="W26" s="3"/>
      <c r="Y26" s="3"/>
      <c r="AC26" s="2"/>
      <c r="AD26" s="2"/>
      <c r="AE26" s="2"/>
      <c r="AF26" s="2"/>
    </row>
    <row r="27" spans="1:32" ht="15.6" thickBot="1">
      <c r="A27" t="s">
        <v>14</v>
      </c>
      <c r="B27">
        <v>40</v>
      </c>
      <c r="C27" s="2">
        <v>14183.776204945978</v>
      </c>
      <c r="D27" s="2">
        <v>22220.692153678043</v>
      </c>
      <c r="E27" s="2">
        <v>-5690.4339519409941</v>
      </c>
      <c r="F27" s="2">
        <v>-7608.5332284793176</v>
      </c>
      <c r="G27" s="2">
        <v>5262.0512316882468</v>
      </c>
      <c r="H27" s="6">
        <v>1605117</v>
      </c>
      <c r="I27" s="2"/>
      <c r="J27" s="2"/>
      <c r="AC27" s="2"/>
      <c r="AD27" s="2"/>
      <c r="AE27" s="2"/>
      <c r="AF27" s="2"/>
    </row>
    <row r="28" spans="1:32" ht="15.6" thickBot="1">
      <c r="A28" t="s">
        <v>14</v>
      </c>
      <c r="B28">
        <v>45</v>
      </c>
      <c r="C28" s="2">
        <v>14398.682301717032</v>
      </c>
      <c r="D28" s="2">
        <v>23354.58169274755</v>
      </c>
      <c r="E28" s="2">
        <v>-5613.4668543783664</v>
      </c>
      <c r="F28" s="2">
        <v>-7841.903069169367</v>
      </c>
      <c r="G28" s="2">
        <v>4499.4705325172154</v>
      </c>
      <c r="H28" s="6">
        <v>1497547</v>
      </c>
      <c r="I28" s="2"/>
      <c r="J28" s="2"/>
    </row>
    <row r="29" spans="1:32" ht="15.6" thickBot="1">
      <c r="A29" t="s">
        <v>14</v>
      </c>
      <c r="B29">
        <v>50</v>
      </c>
      <c r="C29" s="2">
        <v>14983.308737913241</v>
      </c>
      <c r="D29" s="2">
        <v>22699.362064349738</v>
      </c>
      <c r="E29" s="2">
        <v>-5381.1008824893006</v>
      </c>
      <c r="F29" s="2">
        <v>-6835.6435400725304</v>
      </c>
      <c r="G29" s="2">
        <v>4500.6910961253343</v>
      </c>
      <c r="H29" s="6">
        <v>1112849</v>
      </c>
      <c r="I29" s="2"/>
      <c r="J29" s="2"/>
    </row>
    <row r="30" spans="1:32" ht="15.6" thickBot="1">
      <c r="A30" t="s">
        <v>14</v>
      </c>
      <c r="B30">
        <v>55</v>
      </c>
      <c r="C30" s="2">
        <v>15405.076750076403</v>
      </c>
      <c r="D30" s="2">
        <v>17264.528026481614</v>
      </c>
      <c r="E30" s="2">
        <v>-1152.8243577811991</v>
      </c>
      <c r="F30" s="2">
        <v>-2838.2984831462963</v>
      </c>
      <c r="G30" s="2">
        <v>2131.6715645222848</v>
      </c>
      <c r="H30" s="6">
        <v>938409</v>
      </c>
      <c r="I30" s="2"/>
      <c r="J30" s="2"/>
    </row>
    <row r="31" spans="1:32" ht="15.6" thickBot="1">
      <c r="A31" t="s">
        <v>14</v>
      </c>
      <c r="B31">
        <v>60</v>
      </c>
      <c r="C31" s="2">
        <v>15653.021706510033</v>
      </c>
      <c r="D31" s="2">
        <v>12266.230412051271</v>
      </c>
      <c r="E31" s="2">
        <v>2875.6320241748417</v>
      </c>
      <c r="F31" s="2">
        <v>-1247.1334657000623</v>
      </c>
      <c r="G31" s="2">
        <v>1758.292735983983</v>
      </c>
      <c r="H31" s="6">
        <v>623752</v>
      </c>
      <c r="I31" s="2"/>
      <c r="J31" s="2"/>
      <c r="U31" s="3"/>
      <c r="V31" s="3"/>
      <c r="W31" s="3"/>
      <c r="X31" s="3"/>
    </row>
    <row r="32" spans="1:32" ht="15.6" thickBot="1">
      <c r="A32" t="s">
        <v>14</v>
      </c>
      <c r="B32">
        <v>65</v>
      </c>
      <c r="C32" s="2">
        <v>14758.867798485953</v>
      </c>
      <c r="D32" s="2">
        <v>4410.2774867808985</v>
      </c>
      <c r="E32" s="2">
        <v>7637.5145783129747</v>
      </c>
      <c r="F32" s="2">
        <v>994.45527844108176</v>
      </c>
      <c r="G32" s="2">
        <v>1716.6204549509985</v>
      </c>
      <c r="H32" s="6">
        <v>530402</v>
      </c>
      <c r="I32" s="2"/>
      <c r="J32" s="2"/>
      <c r="U32" s="3"/>
      <c r="V32" s="3"/>
      <c r="W32" s="3"/>
      <c r="X32" s="3"/>
    </row>
    <row r="33" spans="1:32" ht="15.6" thickBot="1">
      <c r="A33" t="s">
        <v>14</v>
      </c>
      <c r="B33">
        <v>70</v>
      </c>
      <c r="C33" s="2">
        <v>14441.625143179248</v>
      </c>
      <c r="D33" s="2">
        <v>444.65002851537241</v>
      </c>
      <c r="E33" s="2">
        <v>10064.567290763163</v>
      </c>
      <c r="F33" s="2">
        <v>1428.2560848964324</v>
      </c>
      <c r="G33" s="2">
        <v>2504.15173900428</v>
      </c>
      <c r="H33" s="6">
        <v>446313</v>
      </c>
      <c r="I33" s="2"/>
      <c r="J33" s="2"/>
    </row>
    <row r="34" spans="1:32" ht="15.6" thickBot="1">
      <c r="A34" t="s">
        <v>14</v>
      </c>
      <c r="B34">
        <v>75</v>
      </c>
      <c r="C34" s="2">
        <v>14148.991004811833</v>
      </c>
      <c r="D34" s="2">
        <v>35.484262631520096</v>
      </c>
      <c r="E34" s="2">
        <v>10230.785266626313</v>
      </c>
      <c r="F34" s="2">
        <v>1724.6772869195179</v>
      </c>
      <c r="G34" s="2">
        <v>2158.0441886344811</v>
      </c>
      <c r="H34" s="6">
        <v>301318</v>
      </c>
      <c r="I34" s="2"/>
      <c r="J34" s="2"/>
    </row>
    <row r="35" spans="1:32" ht="16.2" thickBot="1">
      <c r="A35" t="s">
        <v>14</v>
      </c>
      <c r="B35">
        <v>80</v>
      </c>
      <c r="C35" s="2">
        <v>14158.62152904012</v>
      </c>
      <c r="D35" s="2">
        <v>4.0925954041937382</v>
      </c>
      <c r="E35" s="2">
        <v>11498.29444911439</v>
      </c>
      <c r="F35" s="2">
        <v>2377.0167590317333</v>
      </c>
      <c r="G35" s="2">
        <v>279.21772548980243</v>
      </c>
      <c r="H35" s="6">
        <v>402620</v>
      </c>
      <c r="I35" s="2"/>
      <c r="J35" s="2"/>
      <c r="AB35" s="1"/>
    </row>
    <row r="36" spans="1:32" ht="15.6" thickBot="1">
      <c r="A36" t="s">
        <v>26</v>
      </c>
      <c r="B36">
        <v>0</v>
      </c>
      <c r="C36" s="2">
        <v>11615.492692399101</v>
      </c>
      <c r="D36" s="2">
        <v>0</v>
      </c>
      <c r="E36" s="2">
        <v>3862.5855433181864</v>
      </c>
      <c r="F36" s="2">
        <v>8072.0009683578455</v>
      </c>
      <c r="G36" s="2">
        <v>-319.09381927693084</v>
      </c>
      <c r="H36" s="6">
        <v>911238</v>
      </c>
      <c r="I36" s="2"/>
      <c r="J36" s="2"/>
      <c r="AC36" s="2"/>
      <c r="AD36" s="2"/>
      <c r="AE36" s="2"/>
      <c r="AF36" s="2"/>
    </row>
    <row r="37" spans="1:32" ht="15.6" thickBot="1">
      <c r="A37" t="s">
        <v>26</v>
      </c>
      <c r="B37">
        <v>5</v>
      </c>
      <c r="C37" s="2">
        <v>13597.388339783332</v>
      </c>
      <c r="D37" s="2">
        <v>0</v>
      </c>
      <c r="E37" s="2">
        <v>5406.5786436589278</v>
      </c>
      <c r="F37" s="2">
        <v>8557.2296478364497</v>
      </c>
      <c r="G37" s="2">
        <v>-366.41995171204508</v>
      </c>
      <c r="H37" s="6">
        <v>734505</v>
      </c>
      <c r="I37" s="2"/>
      <c r="J37" s="2"/>
    </row>
    <row r="38" spans="1:32" ht="15.6" thickBot="1">
      <c r="A38" t="s">
        <v>26</v>
      </c>
      <c r="B38">
        <v>10</v>
      </c>
      <c r="C38" s="2">
        <v>16915.751830327219</v>
      </c>
      <c r="D38" s="2">
        <v>0</v>
      </c>
      <c r="E38" s="2">
        <v>5944.8898446113881</v>
      </c>
      <c r="F38" s="2">
        <v>11424.170197051531</v>
      </c>
      <c r="G38" s="2">
        <v>-453.30821133570134</v>
      </c>
      <c r="H38" s="6">
        <v>622420</v>
      </c>
      <c r="I38" s="2"/>
      <c r="J38" s="2"/>
    </row>
    <row r="39" spans="1:32" ht="15.6" thickBot="1">
      <c r="A39" t="s">
        <v>26</v>
      </c>
      <c r="B39">
        <v>15</v>
      </c>
      <c r="C39" s="2">
        <v>19944.588710778957</v>
      </c>
      <c r="D39" s="2">
        <v>524.9574375046227</v>
      </c>
      <c r="E39" s="2">
        <v>5785.944422868286</v>
      </c>
      <c r="F39" s="2">
        <v>14547.939339532832</v>
      </c>
      <c r="G39" s="2">
        <v>-914.25248912678217</v>
      </c>
      <c r="H39" s="6">
        <v>486385</v>
      </c>
      <c r="I39" s="2"/>
      <c r="J39" s="2"/>
    </row>
    <row r="40" spans="1:32" ht="16.2" thickBot="1">
      <c r="A40" t="s">
        <v>26</v>
      </c>
      <c r="B40">
        <v>20</v>
      </c>
      <c r="C40" s="2">
        <v>19090.800325133932</v>
      </c>
      <c r="D40" s="2">
        <v>5226.3470594497094</v>
      </c>
      <c r="E40" s="2">
        <v>1061.2040213926653</v>
      </c>
      <c r="F40" s="2">
        <v>14538.286811906411</v>
      </c>
      <c r="G40" s="2">
        <v>-1735.0375676148524</v>
      </c>
      <c r="H40" s="6">
        <v>702867</v>
      </c>
      <c r="I40" s="2"/>
      <c r="J40" s="2"/>
      <c r="T40" s="1"/>
    </row>
    <row r="41" spans="1:32" ht="15.6" thickBot="1">
      <c r="A41" t="s">
        <v>26</v>
      </c>
      <c r="B41">
        <v>25</v>
      </c>
      <c r="C41" s="2">
        <v>18554.422542674034</v>
      </c>
      <c r="D41" s="2">
        <v>19211.225886859182</v>
      </c>
      <c r="E41" s="2">
        <v>-5739.8896551549024</v>
      </c>
      <c r="F41" s="2">
        <v>1802.7201286606569</v>
      </c>
      <c r="G41" s="2">
        <v>3280.3661823090979</v>
      </c>
      <c r="H41" s="6">
        <v>1160430</v>
      </c>
      <c r="I41" s="2"/>
      <c r="J41" s="2"/>
    </row>
    <row r="42" spans="1:32" ht="15.6" thickBot="1">
      <c r="A42" t="s">
        <v>26</v>
      </c>
      <c r="B42">
        <v>30</v>
      </c>
      <c r="C42" s="2">
        <v>18721.828653874098</v>
      </c>
      <c r="D42" s="2">
        <v>26489.661166874062</v>
      </c>
      <c r="E42" s="2">
        <v>-8140.6786383556555</v>
      </c>
      <c r="F42" s="2">
        <v>-2772.9682327710511</v>
      </c>
      <c r="G42" s="2">
        <v>3145.8143581267418</v>
      </c>
      <c r="H42" s="6">
        <v>1510851</v>
      </c>
      <c r="I42" s="2"/>
      <c r="J42" s="2"/>
      <c r="U42" s="3"/>
      <c r="V42" s="3"/>
      <c r="W42" s="3"/>
      <c r="Y42" s="3"/>
      <c r="AC42" s="2"/>
      <c r="AD42" s="2"/>
      <c r="AE42" s="2"/>
      <c r="AF42" s="2"/>
    </row>
    <row r="43" spans="1:32" ht="15.6" thickBot="1">
      <c r="A43" t="s">
        <v>26</v>
      </c>
      <c r="B43">
        <v>35</v>
      </c>
      <c r="C43" s="2">
        <v>18731.599155178323</v>
      </c>
      <c r="D43" s="2">
        <v>29101.095640048392</v>
      </c>
      <c r="E43" s="2">
        <v>-8623.2320195574666</v>
      </c>
      <c r="F43" s="2">
        <v>-6014.9660748543247</v>
      </c>
      <c r="G43" s="2">
        <v>4268.7016095417221</v>
      </c>
      <c r="H43" s="6">
        <v>1444972</v>
      </c>
      <c r="I43" s="2"/>
      <c r="J43" s="2"/>
      <c r="U43" s="3"/>
      <c r="V43" s="3"/>
      <c r="W43" s="3"/>
      <c r="Y43" s="3"/>
      <c r="AC43" s="2"/>
      <c r="AD43" s="2"/>
      <c r="AE43" s="2"/>
      <c r="AF43" s="2"/>
    </row>
    <row r="44" spans="1:32" ht="15.6" thickBot="1">
      <c r="A44" t="s">
        <v>26</v>
      </c>
      <c r="B44">
        <v>40</v>
      </c>
      <c r="C44" s="2">
        <v>18134.25177412857</v>
      </c>
      <c r="D44" s="2">
        <v>31900.125824188748</v>
      </c>
      <c r="E44" s="2">
        <v>-10036.391849631438</v>
      </c>
      <c r="F44" s="2">
        <v>-8514.6759268479982</v>
      </c>
      <c r="G44" s="2">
        <v>4785.1937264192584</v>
      </c>
      <c r="H44" s="6">
        <v>1169168</v>
      </c>
      <c r="I44" s="2"/>
      <c r="J44" s="2"/>
      <c r="AC44" s="2"/>
      <c r="AD44" s="2"/>
      <c r="AE44" s="2"/>
      <c r="AF44" s="2"/>
    </row>
    <row r="45" spans="1:32" ht="15.6" thickBot="1">
      <c r="A45" t="s">
        <v>26</v>
      </c>
      <c r="B45">
        <v>45</v>
      </c>
      <c r="C45" s="2">
        <v>18544.946930203158</v>
      </c>
      <c r="D45" s="2">
        <v>32917.168591964328</v>
      </c>
      <c r="E45" s="2">
        <v>-10388.280472938193</v>
      </c>
      <c r="F45" s="2">
        <v>-11430.438998370684</v>
      </c>
      <c r="G45" s="2">
        <v>7446.4978095477072</v>
      </c>
      <c r="H45" s="6">
        <v>833572</v>
      </c>
      <c r="I45" s="2"/>
      <c r="J45" s="2"/>
      <c r="AC45" s="2"/>
      <c r="AD45" s="2"/>
      <c r="AE45" s="2"/>
      <c r="AF45" s="2"/>
    </row>
    <row r="46" spans="1:32" ht="15.6" thickBot="1">
      <c r="A46" t="s">
        <v>26</v>
      </c>
      <c r="B46">
        <v>50</v>
      </c>
      <c r="C46" s="2">
        <v>18141.023597277497</v>
      </c>
      <c r="D46" s="2">
        <v>32013.870459902333</v>
      </c>
      <c r="E46" s="2">
        <v>-9507.1599566002988</v>
      </c>
      <c r="F46" s="2">
        <v>-10514.645891005255</v>
      </c>
      <c r="G46" s="2">
        <v>6148.958984980718</v>
      </c>
      <c r="H46" s="6">
        <v>814254</v>
      </c>
      <c r="I46" s="2"/>
      <c r="J46" s="2"/>
    </row>
    <row r="47" spans="1:32" ht="15.6" thickBot="1">
      <c r="A47" t="s">
        <v>26</v>
      </c>
      <c r="B47">
        <v>55</v>
      </c>
      <c r="C47" s="2">
        <v>20601.898137767574</v>
      </c>
      <c r="D47" s="2">
        <v>29091.527325948722</v>
      </c>
      <c r="E47" s="2">
        <v>-5827.3652169475154</v>
      </c>
      <c r="F47" s="2">
        <v>-7947.1820107536487</v>
      </c>
      <c r="G47" s="2">
        <v>5284.9180395200156</v>
      </c>
      <c r="H47" s="6">
        <v>632775</v>
      </c>
      <c r="I47" s="2"/>
      <c r="J47" s="2"/>
    </row>
    <row r="48" spans="1:32" ht="15.6" thickBot="1">
      <c r="A48" t="s">
        <v>26</v>
      </c>
      <c r="B48">
        <v>60</v>
      </c>
      <c r="C48" s="2">
        <v>20472.727906866428</v>
      </c>
      <c r="D48" s="2">
        <v>17624.270573451999</v>
      </c>
      <c r="E48" s="2">
        <v>907.12648500143405</v>
      </c>
      <c r="F48" s="2">
        <v>-1571.0654955211319</v>
      </c>
      <c r="G48" s="2">
        <v>3512.3963439341278</v>
      </c>
      <c r="H48" s="6">
        <v>601076</v>
      </c>
      <c r="I48" s="2"/>
      <c r="J48" s="2"/>
      <c r="U48" s="3"/>
      <c r="V48" s="3"/>
      <c r="W48" s="3"/>
      <c r="X48" s="3"/>
    </row>
    <row r="49" spans="1:25" ht="15.6" thickBot="1">
      <c r="A49" t="s">
        <v>26</v>
      </c>
      <c r="B49">
        <v>65</v>
      </c>
      <c r="C49" s="2">
        <v>19191.57619715076</v>
      </c>
      <c r="D49" s="2">
        <v>6357.420648424024</v>
      </c>
      <c r="E49" s="2">
        <v>6838.1225732897346</v>
      </c>
      <c r="F49" s="2">
        <v>690.5918454993822</v>
      </c>
      <c r="G49" s="2">
        <v>5305.4411299376188</v>
      </c>
      <c r="H49" s="6">
        <v>356059</v>
      </c>
      <c r="I49" s="2"/>
      <c r="J49" s="2"/>
      <c r="U49" s="3"/>
      <c r="V49" s="3"/>
      <c r="W49" s="3"/>
      <c r="X49" s="3"/>
    </row>
    <row r="50" spans="1:25" ht="15.6" thickBot="1">
      <c r="A50" t="s">
        <v>26</v>
      </c>
      <c r="B50">
        <v>70</v>
      </c>
      <c r="C50" s="2">
        <v>18053.119556769063</v>
      </c>
      <c r="D50" s="2">
        <v>2700.917351486934</v>
      </c>
      <c r="E50" s="2">
        <v>7697.8326154381057</v>
      </c>
      <c r="F50" s="2">
        <v>2703.008076381087</v>
      </c>
      <c r="G50" s="2">
        <v>4951.3615134629363</v>
      </c>
      <c r="H50" s="6">
        <v>276077</v>
      </c>
      <c r="I50" s="2"/>
      <c r="J50" s="2"/>
    </row>
    <row r="51" spans="1:25" ht="15.6" thickBot="1">
      <c r="A51" t="s">
        <v>26</v>
      </c>
      <c r="B51">
        <v>75</v>
      </c>
      <c r="C51" s="2">
        <v>17700.871998828039</v>
      </c>
      <c r="D51" s="2">
        <v>1375.9876311158137</v>
      </c>
      <c r="E51" s="2">
        <v>12259.474249223653</v>
      </c>
      <c r="F51" s="2">
        <v>861.28063405521311</v>
      </c>
      <c r="G51" s="2">
        <v>3204.1294844333597</v>
      </c>
      <c r="H51" s="6">
        <v>231331</v>
      </c>
      <c r="I51" s="2"/>
      <c r="J51" s="2"/>
    </row>
    <row r="52" spans="1:25" ht="15.6" thickBot="1">
      <c r="A52" t="s">
        <v>26</v>
      </c>
      <c r="B52">
        <v>80</v>
      </c>
      <c r="C52" s="2">
        <v>16793.223066899955</v>
      </c>
      <c r="D52" s="2">
        <v>0</v>
      </c>
      <c r="E52" s="2">
        <v>10775.63492219653</v>
      </c>
      <c r="F52" s="2">
        <v>2407.8558739356504</v>
      </c>
      <c r="G52" s="2">
        <v>3609.732270767774</v>
      </c>
      <c r="H52" s="6">
        <v>270922</v>
      </c>
      <c r="I52" s="2"/>
      <c r="J52" s="2"/>
    </row>
    <row r="53" spans="1:25">
      <c r="F53" s="2"/>
    </row>
    <row r="54" spans="1:25">
      <c r="F54" s="2"/>
    </row>
    <row r="58" spans="1:25">
      <c r="C58" s="2"/>
      <c r="D58" s="2"/>
      <c r="E58" s="2"/>
      <c r="F58" s="2"/>
      <c r="G58" s="2"/>
      <c r="H58" s="2"/>
    </row>
    <row r="59" spans="1:25">
      <c r="C59" s="2"/>
      <c r="D59" s="2"/>
      <c r="E59" s="2"/>
      <c r="F59" s="2"/>
      <c r="G59" s="2"/>
      <c r="H59" s="2"/>
    </row>
    <row r="60" spans="1:25">
      <c r="C60" s="2"/>
      <c r="D60" s="2"/>
      <c r="E60" s="2"/>
      <c r="F60" s="2"/>
      <c r="G60" s="2"/>
      <c r="H60" s="2"/>
    </row>
    <row r="61" spans="1:25">
      <c r="C61" s="2"/>
      <c r="D61" s="2"/>
      <c r="E61" s="2"/>
      <c r="F61" s="2"/>
      <c r="G61" s="2"/>
      <c r="H61" s="2"/>
    </row>
    <row r="62" spans="1:25" ht="15.6">
      <c r="C62" s="2"/>
      <c r="D62" s="2"/>
      <c r="E62" s="2"/>
      <c r="F62" s="2"/>
      <c r="G62" s="2"/>
      <c r="H62" s="2"/>
      <c r="T62" s="1"/>
    </row>
    <row r="63" spans="1:25">
      <c r="C63" s="2"/>
      <c r="D63" s="2"/>
      <c r="E63" s="2"/>
      <c r="F63" s="2"/>
      <c r="G63" s="2"/>
      <c r="H63" s="2"/>
    </row>
    <row r="64" spans="1:25">
      <c r="C64" s="2"/>
      <c r="D64" s="2"/>
      <c r="E64" s="2"/>
      <c r="F64" s="2"/>
      <c r="G64" s="2"/>
      <c r="H64" s="2"/>
      <c r="U64" s="3"/>
      <c r="V64" s="3"/>
      <c r="W64" s="3"/>
      <c r="Y64" s="3"/>
    </row>
    <row r="65" spans="3:25">
      <c r="C65" s="2"/>
      <c r="D65" s="2"/>
      <c r="E65" s="2"/>
      <c r="F65" s="2"/>
      <c r="G65" s="2"/>
      <c r="H65" s="2"/>
      <c r="U65" s="3"/>
      <c r="V65" s="3"/>
      <c r="W65" s="3"/>
      <c r="Y65" s="3"/>
    </row>
    <row r="66" spans="3:25">
      <c r="C66" s="2"/>
      <c r="D66" s="2"/>
      <c r="E66" s="2"/>
      <c r="F66" s="2"/>
      <c r="G66" s="2"/>
      <c r="H66" s="2"/>
    </row>
    <row r="67" spans="3:25">
      <c r="C67" s="2"/>
      <c r="D67" s="2"/>
      <c r="E67" s="2"/>
      <c r="F67" s="2"/>
      <c r="G67" s="2"/>
      <c r="H67" s="2"/>
    </row>
    <row r="68" spans="3:25">
      <c r="C68" s="2"/>
      <c r="D68" s="2"/>
      <c r="E68" s="2"/>
      <c r="F68" s="2"/>
      <c r="G68" s="2"/>
      <c r="H68" s="2"/>
    </row>
    <row r="69" spans="3:25">
      <c r="C69" s="2"/>
      <c r="D69" s="2"/>
      <c r="E69" s="2"/>
      <c r="F69" s="2"/>
      <c r="G69" s="2"/>
      <c r="H69" s="2"/>
    </row>
    <row r="70" spans="3:25">
      <c r="C70" s="2"/>
      <c r="D70" s="2"/>
      <c r="E70" s="2"/>
      <c r="F70" s="2"/>
      <c r="G70" s="2"/>
      <c r="H70" s="2"/>
      <c r="U70" s="3"/>
      <c r="V70" s="3"/>
      <c r="W70" s="3"/>
      <c r="X70" s="3"/>
    </row>
    <row r="71" spans="3:25">
      <c r="C71" s="2"/>
      <c r="D71" s="2"/>
      <c r="E71" s="2"/>
      <c r="F71" s="2"/>
      <c r="G71" s="2"/>
      <c r="H71" s="2"/>
      <c r="U71" s="3"/>
      <c r="V71" s="3"/>
      <c r="W71" s="3"/>
      <c r="X71" s="3"/>
    </row>
    <row r="72" spans="3:25">
      <c r="C72" s="2"/>
      <c r="D72" s="2"/>
      <c r="E72" s="2"/>
      <c r="F72" s="2"/>
      <c r="G72" s="2"/>
      <c r="H72" s="2"/>
    </row>
    <row r="73" spans="3:25">
      <c r="C73" s="2"/>
      <c r="D73" s="2"/>
      <c r="E73" s="2"/>
      <c r="F73" s="2"/>
      <c r="G73" s="2"/>
      <c r="H73" s="2"/>
    </row>
    <row r="74" spans="3:25">
      <c r="C74" s="2"/>
      <c r="D74" s="2"/>
      <c r="E74" s="2"/>
      <c r="F74" s="2"/>
      <c r="G74" s="2"/>
      <c r="H74" s="2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CE51-E5DF-2448-A65C-1849415A75C7}">
  <dimension ref="A1:U86"/>
  <sheetViews>
    <sheetView workbookViewId="0">
      <selection activeCell="K26" sqref="K26"/>
    </sheetView>
  </sheetViews>
  <sheetFormatPr baseColWidth="10" defaultRowHeight="15"/>
  <cols>
    <col min="2" max="3" width="11.1796875" customWidth="1"/>
    <col min="10" max="11" width="12.1796875" customWidth="1"/>
    <col min="13" max="13" width="12.1796875" bestFit="1" customWidth="1"/>
    <col min="14" max="14" width="11.1796875" bestFit="1" customWidth="1"/>
    <col min="15" max="15" width="12.1796875" bestFit="1" customWidth="1"/>
  </cols>
  <sheetData>
    <row r="1" spans="1:21">
      <c r="A1" t="s">
        <v>17</v>
      </c>
    </row>
    <row r="3" spans="1:21" ht="15.6">
      <c r="B3" s="5" t="s">
        <v>23</v>
      </c>
      <c r="I3" s="5" t="s">
        <v>24</v>
      </c>
    </row>
    <row r="4" spans="1:21" ht="15.6">
      <c r="A4" t="s">
        <v>18</v>
      </c>
      <c r="Q4" s="1" t="s">
        <v>21</v>
      </c>
    </row>
    <row r="5" spans="1:21">
      <c r="Q5" t="s">
        <v>0</v>
      </c>
    </row>
    <row r="6" spans="1:21">
      <c r="A6" t="s">
        <v>1</v>
      </c>
      <c r="B6" t="s">
        <v>3</v>
      </c>
      <c r="C6" t="s">
        <v>4</v>
      </c>
      <c r="D6" t="s">
        <v>5</v>
      </c>
      <c r="E6" t="s">
        <v>7</v>
      </c>
      <c r="F6" t="s">
        <v>6</v>
      </c>
      <c r="G6" t="s">
        <v>2</v>
      </c>
      <c r="J6" t="s">
        <v>3</v>
      </c>
      <c r="K6" t="s">
        <v>4</v>
      </c>
      <c r="L6" t="s">
        <v>5</v>
      </c>
      <c r="M6" t="s">
        <v>7</v>
      </c>
      <c r="N6" t="s">
        <v>6</v>
      </c>
      <c r="O6" t="s">
        <v>2</v>
      </c>
      <c r="R6" t="s">
        <v>8</v>
      </c>
      <c r="S6" t="s">
        <v>9</v>
      </c>
      <c r="T6" t="s">
        <v>10</v>
      </c>
      <c r="U6" t="s">
        <v>11</v>
      </c>
    </row>
    <row r="7" spans="1:21">
      <c r="A7">
        <v>0</v>
      </c>
      <c r="I7" t="s">
        <v>0</v>
      </c>
      <c r="Q7" t="s">
        <v>5</v>
      </c>
      <c r="R7" s="2"/>
      <c r="S7" s="2"/>
      <c r="T7" s="2"/>
      <c r="U7" s="2"/>
    </row>
    <row r="8" spans="1:21">
      <c r="A8">
        <v>5</v>
      </c>
      <c r="I8" t="s">
        <v>12</v>
      </c>
      <c r="Q8" t="s">
        <v>7</v>
      </c>
      <c r="R8" s="2"/>
      <c r="S8" s="2"/>
      <c r="T8" s="2"/>
      <c r="U8" s="2"/>
    </row>
    <row r="9" spans="1:21">
      <c r="A9">
        <v>10</v>
      </c>
      <c r="Q9" t="s">
        <v>6</v>
      </c>
      <c r="R9" s="2"/>
      <c r="S9" s="2"/>
      <c r="T9" s="2"/>
      <c r="U9" s="2"/>
    </row>
    <row r="10" spans="1:21">
      <c r="A10">
        <v>15</v>
      </c>
    </row>
    <row r="11" spans="1:21" ht="15.6">
      <c r="A11">
        <v>20</v>
      </c>
      <c r="I11" s="1"/>
    </row>
    <row r="12" spans="1:21">
      <c r="A12">
        <v>25</v>
      </c>
    </row>
    <row r="13" spans="1:21">
      <c r="A13">
        <v>30</v>
      </c>
      <c r="J13" s="3"/>
      <c r="K13" s="3"/>
      <c r="N13" s="3"/>
      <c r="O13" s="3"/>
      <c r="Q13" t="s">
        <v>12</v>
      </c>
    </row>
    <row r="14" spans="1:21">
      <c r="A14">
        <v>35</v>
      </c>
      <c r="J14" s="3"/>
      <c r="K14" s="3"/>
      <c r="O14" s="3"/>
      <c r="R14" t="s">
        <v>8</v>
      </c>
      <c r="S14" t="s">
        <v>9</v>
      </c>
      <c r="T14" t="s">
        <v>10</v>
      </c>
      <c r="U14" t="s">
        <v>11</v>
      </c>
    </row>
    <row r="15" spans="1:21">
      <c r="A15">
        <v>40</v>
      </c>
      <c r="Q15" t="s">
        <v>5</v>
      </c>
      <c r="R15" s="2"/>
      <c r="S15" s="2"/>
      <c r="T15" s="2"/>
      <c r="U15" s="2"/>
    </row>
    <row r="16" spans="1:21">
      <c r="A16">
        <v>45</v>
      </c>
      <c r="Q16" t="s">
        <v>7</v>
      </c>
      <c r="R16" s="2"/>
      <c r="S16" s="2"/>
      <c r="T16" s="2"/>
      <c r="U16" s="2"/>
    </row>
    <row r="17" spans="1:21">
      <c r="A17">
        <v>50</v>
      </c>
      <c r="Q17" t="s">
        <v>6</v>
      </c>
      <c r="R17" s="2"/>
      <c r="S17" s="2"/>
      <c r="T17" s="2"/>
      <c r="U17" s="2"/>
    </row>
    <row r="18" spans="1:21">
      <c r="A18">
        <v>55</v>
      </c>
    </row>
    <row r="19" spans="1:21">
      <c r="A19">
        <v>60</v>
      </c>
      <c r="J19" s="3"/>
      <c r="K19" s="3"/>
      <c r="L19" s="3"/>
      <c r="M19" s="3"/>
      <c r="O19" s="3"/>
    </row>
    <row r="20" spans="1:21">
      <c r="A20">
        <v>65</v>
      </c>
      <c r="J20" s="3"/>
      <c r="K20" s="3"/>
      <c r="L20" s="3"/>
      <c r="O20" s="3"/>
    </row>
    <row r="21" spans="1:21">
      <c r="A21">
        <v>70</v>
      </c>
    </row>
    <row r="22" spans="1:21" ht="15.6">
      <c r="A22">
        <v>75</v>
      </c>
      <c r="Q22" s="1" t="s">
        <v>22</v>
      </c>
    </row>
    <row r="23" spans="1:21">
      <c r="A23">
        <v>80</v>
      </c>
      <c r="Q23" t="s">
        <v>0</v>
      </c>
    </row>
    <row r="24" spans="1:21">
      <c r="R24" t="s">
        <v>13</v>
      </c>
      <c r="S24" t="s">
        <v>14</v>
      </c>
      <c r="T24" t="s">
        <v>15</v>
      </c>
      <c r="U24" t="s">
        <v>16</v>
      </c>
    </row>
    <row r="25" spans="1:21">
      <c r="Q25" t="s">
        <v>4</v>
      </c>
      <c r="R25" s="2"/>
      <c r="S25" s="2"/>
      <c r="T25" s="2"/>
      <c r="U25" s="2"/>
    </row>
    <row r="26" spans="1:21">
      <c r="A26" t="s">
        <v>19</v>
      </c>
      <c r="Q26" t="s">
        <v>5</v>
      </c>
      <c r="R26" s="3"/>
      <c r="S26" s="2"/>
      <c r="T26" s="2"/>
      <c r="U26" s="2"/>
    </row>
    <row r="27" spans="1:21">
      <c r="Q27" t="s">
        <v>7</v>
      </c>
      <c r="R27" s="3"/>
      <c r="S27" s="2"/>
      <c r="T27" s="2"/>
      <c r="U27" s="2"/>
    </row>
    <row r="28" spans="1:21">
      <c r="A28" t="s">
        <v>1</v>
      </c>
      <c r="B28" t="s">
        <v>3</v>
      </c>
      <c r="C28" t="s">
        <v>4</v>
      </c>
      <c r="D28" t="s">
        <v>5</v>
      </c>
      <c r="E28" t="s">
        <v>7</v>
      </c>
      <c r="F28" t="s">
        <v>6</v>
      </c>
      <c r="G28" t="s">
        <v>2</v>
      </c>
      <c r="J28" t="s">
        <v>3</v>
      </c>
      <c r="K28" t="s">
        <v>4</v>
      </c>
      <c r="L28" t="s">
        <v>5</v>
      </c>
      <c r="M28" t="s">
        <v>7</v>
      </c>
      <c r="N28" t="s">
        <v>6</v>
      </c>
      <c r="O28" t="s">
        <v>2</v>
      </c>
      <c r="Q28" t="s">
        <v>6</v>
      </c>
      <c r="R28" s="3"/>
      <c r="S28" s="2"/>
      <c r="T28" s="2"/>
      <c r="U28" s="2"/>
    </row>
    <row r="29" spans="1:21">
      <c r="A29">
        <v>0</v>
      </c>
      <c r="I29" t="s">
        <v>0</v>
      </c>
    </row>
    <row r="30" spans="1:21">
      <c r="A30">
        <v>5</v>
      </c>
      <c r="I30" t="s">
        <v>12</v>
      </c>
    </row>
    <row r="31" spans="1:21">
      <c r="A31">
        <v>10</v>
      </c>
    </row>
    <row r="32" spans="1:21">
      <c r="A32">
        <v>15</v>
      </c>
      <c r="Q32" t="s">
        <v>12</v>
      </c>
    </row>
    <row r="33" spans="1:21" ht="15.6">
      <c r="A33">
        <v>20</v>
      </c>
      <c r="I33" s="1"/>
      <c r="R33" t="s">
        <v>13</v>
      </c>
      <c r="S33" t="s">
        <v>14</v>
      </c>
      <c r="T33" t="s">
        <v>15</v>
      </c>
      <c r="U33" t="s">
        <v>16</v>
      </c>
    </row>
    <row r="34" spans="1:21">
      <c r="A34">
        <v>25</v>
      </c>
      <c r="Q34" t="s">
        <v>4</v>
      </c>
      <c r="R34" s="2"/>
      <c r="S34" s="2"/>
      <c r="T34" s="2"/>
      <c r="U34" s="2"/>
    </row>
    <row r="35" spans="1:21">
      <c r="A35">
        <v>30</v>
      </c>
      <c r="J35" s="3"/>
      <c r="K35" s="3"/>
      <c r="M35" s="3"/>
      <c r="O35" s="3"/>
      <c r="Q35" t="s">
        <v>5</v>
      </c>
      <c r="R35" s="2"/>
      <c r="S35" s="2"/>
      <c r="T35" s="2"/>
      <c r="U35" s="2"/>
    </row>
    <row r="36" spans="1:21">
      <c r="A36">
        <v>35</v>
      </c>
      <c r="J36" s="3"/>
      <c r="K36" s="3"/>
      <c r="M36" s="3"/>
      <c r="O36" s="3"/>
      <c r="Q36" t="s">
        <v>7</v>
      </c>
      <c r="R36" s="2"/>
      <c r="S36" s="2"/>
      <c r="T36" s="2"/>
      <c r="U36" s="2"/>
    </row>
    <row r="37" spans="1:21">
      <c r="A37">
        <v>40</v>
      </c>
      <c r="Q37" t="s">
        <v>6</v>
      </c>
      <c r="R37" s="2"/>
      <c r="S37" s="2"/>
      <c r="T37" s="2"/>
      <c r="U37" s="2"/>
    </row>
    <row r="38" spans="1:21">
      <c r="A38">
        <v>45</v>
      </c>
    </row>
    <row r="39" spans="1:21">
      <c r="A39">
        <v>50</v>
      </c>
    </row>
    <row r="40" spans="1:21">
      <c r="A40">
        <v>55</v>
      </c>
    </row>
    <row r="41" spans="1:21">
      <c r="A41">
        <v>60</v>
      </c>
      <c r="J41" s="3"/>
      <c r="K41" s="3"/>
      <c r="L41" s="3"/>
      <c r="O41" s="3"/>
    </row>
    <row r="42" spans="1:21">
      <c r="A42">
        <v>65</v>
      </c>
      <c r="J42" s="3"/>
      <c r="K42" s="3"/>
      <c r="L42" s="3"/>
      <c r="O42" s="3"/>
    </row>
    <row r="43" spans="1:21">
      <c r="A43">
        <v>70</v>
      </c>
    </row>
    <row r="44" spans="1:21">
      <c r="A44">
        <v>75</v>
      </c>
    </row>
    <row r="45" spans="1:21" ht="15.6">
      <c r="A45">
        <v>80</v>
      </c>
      <c r="Q45" s="1"/>
    </row>
    <row r="48" spans="1:21">
      <c r="A48" t="s">
        <v>20</v>
      </c>
      <c r="R48" s="2"/>
      <c r="S48" s="2"/>
      <c r="T48" s="2"/>
      <c r="U48" s="2"/>
    </row>
    <row r="49" spans="1:21">
      <c r="R49" s="2"/>
      <c r="S49" s="2"/>
      <c r="T49" s="2"/>
      <c r="U49" s="2"/>
    </row>
    <row r="50" spans="1:21">
      <c r="A50" t="s">
        <v>1</v>
      </c>
      <c r="B50" t="s">
        <v>3</v>
      </c>
      <c r="C50" t="s">
        <v>4</v>
      </c>
      <c r="D50" t="s">
        <v>5</v>
      </c>
      <c r="E50" t="s">
        <v>7</v>
      </c>
      <c r="F50" t="s">
        <v>6</v>
      </c>
      <c r="G50" t="s">
        <v>2</v>
      </c>
      <c r="J50" t="s">
        <v>3</v>
      </c>
      <c r="K50" t="s">
        <v>4</v>
      </c>
      <c r="L50" t="s">
        <v>5</v>
      </c>
      <c r="M50" t="s">
        <v>7</v>
      </c>
      <c r="N50" t="s">
        <v>6</v>
      </c>
      <c r="O50" t="s">
        <v>2</v>
      </c>
      <c r="R50" s="2"/>
      <c r="S50" s="2"/>
      <c r="T50" s="2"/>
      <c r="U50" s="2"/>
    </row>
    <row r="51" spans="1:21">
      <c r="A51">
        <v>0</v>
      </c>
      <c r="I51" t="s">
        <v>0</v>
      </c>
      <c r="R51" s="2"/>
      <c r="S51" s="2"/>
      <c r="T51" s="2"/>
      <c r="U51" s="2"/>
    </row>
    <row r="52" spans="1:21">
      <c r="A52">
        <v>5</v>
      </c>
      <c r="I52" t="s">
        <v>12</v>
      </c>
    </row>
    <row r="53" spans="1:21">
      <c r="A53">
        <v>10</v>
      </c>
    </row>
    <row r="54" spans="1:21">
      <c r="A54">
        <v>15</v>
      </c>
    </row>
    <row r="55" spans="1:21" ht="15.6">
      <c r="A55">
        <v>20</v>
      </c>
      <c r="I55" s="1"/>
    </row>
    <row r="56" spans="1:21">
      <c r="A56">
        <v>25</v>
      </c>
    </row>
    <row r="57" spans="1:21">
      <c r="A57">
        <v>30</v>
      </c>
      <c r="J57" s="3"/>
      <c r="K57" s="3"/>
      <c r="M57" s="3"/>
      <c r="O57" s="3"/>
      <c r="R57" s="2"/>
      <c r="S57" s="2"/>
      <c r="T57" s="2"/>
      <c r="U57" s="2"/>
    </row>
    <row r="58" spans="1:21">
      <c r="A58">
        <v>35</v>
      </c>
      <c r="J58" s="3"/>
      <c r="K58" s="3"/>
      <c r="M58" s="3"/>
      <c r="O58" s="3"/>
      <c r="R58" s="2"/>
      <c r="S58" s="2"/>
      <c r="T58" s="2"/>
      <c r="U58" s="2"/>
    </row>
    <row r="59" spans="1:21">
      <c r="A59">
        <v>40</v>
      </c>
      <c r="R59" s="2"/>
      <c r="S59" s="2"/>
      <c r="T59" s="2"/>
      <c r="U59" s="2"/>
    </row>
    <row r="60" spans="1:21">
      <c r="A60">
        <v>45</v>
      </c>
      <c r="R60" s="2"/>
      <c r="S60" s="2"/>
      <c r="T60" s="2"/>
      <c r="U60" s="2"/>
    </row>
    <row r="61" spans="1:21">
      <c r="A61">
        <v>50</v>
      </c>
    </row>
    <row r="62" spans="1:21">
      <c r="A62">
        <v>55</v>
      </c>
    </row>
    <row r="63" spans="1:21">
      <c r="A63">
        <v>60</v>
      </c>
      <c r="J63" s="3"/>
      <c r="K63" s="3"/>
      <c r="L63" s="3"/>
      <c r="O63" s="3"/>
    </row>
    <row r="64" spans="1:21">
      <c r="A64">
        <v>65</v>
      </c>
      <c r="J64" s="3"/>
      <c r="K64" s="3"/>
      <c r="L64" s="3"/>
      <c r="O64" s="3"/>
    </row>
    <row r="65" spans="1:15">
      <c r="A65">
        <v>70</v>
      </c>
    </row>
    <row r="66" spans="1:15">
      <c r="A66">
        <v>75</v>
      </c>
    </row>
    <row r="67" spans="1:15">
      <c r="A67">
        <v>80</v>
      </c>
    </row>
    <row r="77" spans="1:15" ht="15.6">
      <c r="I77" s="1"/>
    </row>
    <row r="79" spans="1:15">
      <c r="J79" s="3"/>
      <c r="K79" s="3"/>
      <c r="M79" s="3"/>
      <c r="O79" s="3"/>
    </row>
    <row r="80" spans="1:15">
      <c r="J80" s="3"/>
      <c r="K80" s="3"/>
      <c r="M80" s="3"/>
      <c r="O80" s="3"/>
    </row>
    <row r="85" spans="10:15">
      <c r="J85" s="3"/>
      <c r="K85" s="3"/>
      <c r="L85" s="3"/>
      <c r="O85" s="3"/>
    </row>
    <row r="86" spans="10:15">
      <c r="J86" s="3"/>
      <c r="K86" s="3"/>
      <c r="L86" s="3"/>
      <c r="O8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NTA profiles and Pop</vt:lpstr>
      <vt:lpstr>Financing LCD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Elisenda Renteria Perez</dc:creator>
  <cp:lastModifiedBy>tcordeiro</cp:lastModifiedBy>
  <dcterms:created xsi:type="dcterms:W3CDTF">2026-05-24T08:45:38Z</dcterms:created>
  <dcterms:modified xsi:type="dcterms:W3CDTF">2026-05-27T10:13:58Z</dcterms:modified>
</cp:coreProperties>
</file>